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b5bb6c705a29f/Documents/excel/Excel files for pratice/"/>
    </mc:Choice>
  </mc:AlternateContent>
  <xr:revisionPtr revIDLastSave="208" documentId="8_{76D5FB17-1A01-45EA-BDA4-3172E1F049A3}" xr6:coauthVersionLast="47" xr6:coauthVersionMax="47" xr10:uidLastSave="{6965A94C-0333-45AC-9D4F-65C22082A1C9}"/>
  <bookViews>
    <workbookView xWindow="-108" yWindow="-108" windowWidth="23256" windowHeight="12456" xr2:uid="{AB931250-6051-4E0B-AFD9-0FC42451A030}"/>
  </bookViews>
  <sheets>
    <sheet name="Index and Match Advance " sheetId="1" r:id="rId1"/>
  </sheets>
  <definedNames>
    <definedName name="_xlnm._FilterDatabase" localSheetId="0" hidden="1">'Index and Match Advance '!$I$2:$L$9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8" i="1" a="1"/>
  <c r="K8" i="1" s="1"/>
  <c r="K5" i="1"/>
  <c r="K6" i="1"/>
  <c r="K7" i="1" a="1"/>
  <c r="K7" i="1" s="1"/>
  <c r="K4" i="1" a="1"/>
  <c r="K4" i="1" s="1"/>
  <c r="L9" i="1"/>
  <c r="L8" i="1"/>
  <c r="L7" i="1"/>
  <c r="L6" i="1"/>
  <c r="L5" i="1"/>
  <c r="L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<sst xmlns="http://schemas.openxmlformats.org/spreadsheetml/2006/main" count="67" uniqueCount="37">
  <si>
    <t>EmpID</t>
  </si>
  <si>
    <t>Name</t>
  </si>
  <si>
    <t>Dept</t>
  </si>
  <si>
    <t>Month</t>
  </si>
  <si>
    <t>Region</t>
  </si>
  <si>
    <t>Sales</t>
  </si>
  <si>
    <t>E101</t>
  </si>
  <si>
    <t>Rahul</t>
  </si>
  <si>
    <t>Jan</t>
  </si>
  <si>
    <t>North</t>
  </si>
  <si>
    <t>E102</t>
  </si>
  <si>
    <t>Neha</t>
  </si>
  <si>
    <t>Marketing</t>
  </si>
  <si>
    <t>East</t>
  </si>
  <si>
    <t>E103</t>
  </si>
  <si>
    <t>Amit</t>
  </si>
  <si>
    <t>West</t>
  </si>
  <si>
    <t>E104</t>
  </si>
  <si>
    <t>Pooja</t>
  </si>
  <si>
    <t>HR</t>
  </si>
  <si>
    <t>South</t>
  </si>
  <si>
    <t>Feb</t>
  </si>
  <si>
    <t>E105</t>
  </si>
  <si>
    <t>Rohan</t>
  </si>
  <si>
    <t>E106</t>
  </si>
  <si>
    <t>Sneha</t>
  </si>
  <si>
    <t>Finance</t>
  </si>
  <si>
    <t>Questions</t>
  </si>
  <si>
    <t>Ans</t>
  </si>
  <si>
    <r>
      <t xml:space="preserve">Find </t>
    </r>
    <r>
      <rPr>
        <b/>
        <sz val="11"/>
        <color theme="1"/>
        <rFont val="Aptos Narrow"/>
        <family val="2"/>
        <scheme val="minor"/>
      </rPr>
      <t>Rahul’s sales in Feb from North region</t>
    </r>
  </si>
  <si>
    <t>Serial No</t>
  </si>
  <si>
    <t>Find department of E106</t>
  </si>
  <si>
    <r>
      <t xml:space="preserve">Name with </t>
    </r>
    <r>
      <rPr>
        <b/>
        <sz val="11"/>
        <color theme="1"/>
        <rFont val="Aptos Narrow"/>
        <family val="2"/>
        <scheme val="minor"/>
      </rPr>
      <t>Highest Sales</t>
    </r>
  </si>
  <si>
    <t>Month when Amit made highest sales</t>
  </si>
  <si>
    <t xml:space="preserve">Formula used </t>
  </si>
  <si>
    <t>Region where Sales &gt; 45,000 for Rahul</t>
  </si>
  <si>
    <t>Dynamic Column Lookup (VERY IMPORTANT)
📌 Question
Return value based on column header
Assume
H1 = "Sales"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</si>
</sst>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0" fillId="4" borderId="0" xfId="0" applyFill="1"/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0" fillId="5" borderId="0" xfId="0" applyFill="1"/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/>
    <xf numFmtId="0" fontId="2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 tint="0.1499984740745262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762000</xdr:colOff>
      <xdr:row>3</xdr:row>
      <xdr:rowOff>106680</xdr:rowOff>
    </xdr:from>
    <xdr:to>
      <xdr:col>8</xdr:col>
      <xdr:colOff>998220</xdr:colOff>
      <xdr:row>3</xdr:row>
      <xdr:rowOff>106680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D11B9BD-628A-69A6-C44D-450E13BBBA8A}"/>
            </a:ext>
          </a:extLst>
        </xdr:cNvPr>
        <xdr:cNvCxnSpPr/>
      </xdr:nvCxnSpPr>
      <xdr:spPr>
        <a:xfrm>
          <a:off x="5638800" y="655320"/>
          <a:ext cx="236220" cy="0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746760</xdr:colOff>
      <xdr:row>4</xdr:row>
      <xdr:rowOff>106680</xdr:rowOff>
    </xdr:from>
    <xdr:to>
      <xdr:col>8</xdr:col>
      <xdr:colOff>982980</xdr:colOff>
      <xdr:row>4</xdr:row>
      <xdr:rowOff>106680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BA44210-423F-421E-A5DA-13AEE084CC85}"/>
            </a:ext>
          </a:extLst>
        </xdr:cNvPr>
        <xdr:cNvCxnSpPr/>
      </xdr:nvCxnSpPr>
      <xdr:spPr>
        <a:xfrm>
          <a:off x="5623560" y="853440"/>
          <a:ext cx="236220" cy="0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739140</xdr:colOff>
      <xdr:row>5</xdr:row>
      <xdr:rowOff>114300</xdr:rowOff>
    </xdr:from>
    <xdr:to>
      <xdr:col>8</xdr:col>
      <xdr:colOff>975360</xdr:colOff>
      <xdr:row>5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527C028-7B52-48DE-A8BC-27E275E57275}"/>
            </a:ext>
          </a:extLst>
        </xdr:cNvPr>
        <xdr:cNvCxnSpPr/>
      </xdr:nvCxnSpPr>
      <xdr:spPr>
        <a:xfrm>
          <a:off x="5615940" y="1059180"/>
          <a:ext cx="236220" cy="0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716280</xdr:colOff>
      <xdr:row>6</xdr:row>
      <xdr:rowOff>121920</xdr:rowOff>
    </xdr:from>
    <xdr:to>
      <xdr:col>8</xdr:col>
      <xdr:colOff>952500</xdr:colOff>
      <xdr:row>6</xdr:row>
      <xdr:rowOff>121920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2A94368-A6F7-448F-963D-5545024BAD28}"/>
            </a:ext>
          </a:extLst>
        </xdr:cNvPr>
        <xdr:cNvCxnSpPr/>
      </xdr:nvCxnSpPr>
      <xdr:spPr>
        <a:xfrm>
          <a:off x="5593080" y="1264920"/>
          <a:ext cx="236220" cy="0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708660</xdr:colOff>
      <xdr:row>7</xdr:row>
      <xdr:rowOff>129540</xdr:rowOff>
    </xdr:from>
    <xdr:to>
      <xdr:col>8</xdr:col>
      <xdr:colOff>944880</xdr:colOff>
      <xdr:row>7</xdr:row>
      <xdr:rowOff>129540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B7B9B4A-D746-44CA-957E-0C4453D0991F}"/>
            </a:ext>
          </a:extLst>
        </xdr:cNvPr>
        <xdr:cNvCxnSpPr/>
      </xdr:nvCxnSpPr>
      <xdr:spPr>
        <a:xfrm>
          <a:off x="5585460" y="1470660"/>
          <a:ext cx="236220" cy="0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716280</xdr:colOff>
      <xdr:row>8</xdr:row>
      <xdr:rowOff>99060</xdr:rowOff>
    </xdr:from>
    <xdr:to>
      <xdr:col>8</xdr:col>
      <xdr:colOff>952500</xdr:colOff>
      <xdr:row>8</xdr:row>
      <xdr:rowOff>99060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C3482BCB-E6F0-44F5-88A6-1D3A6E9F3C09}"/>
            </a:ext>
          </a:extLst>
        </xdr:cNvPr>
        <xdr:cNvCxnSpPr/>
      </xdr:nvCxnSpPr>
      <xdr:spPr>
        <a:xfrm>
          <a:off x="5593080" y="1638300"/>
          <a:ext cx="236220" cy="0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243840</xdr:colOff>
      <xdr:row>1</xdr:row>
      <xdr:rowOff>121920</xdr:rowOff>
    </xdr:from>
    <xdr:to>
      <xdr:col>8</xdr:col>
      <xdr:colOff>449580</xdr:colOff>
      <xdr:row>8</xdr:row>
      <xdr:rowOff>129540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856A44F-C865-4211-947F-FF6A3D995A0D}"/>
            </a:ext>
          </a:extLst>
        </xdr:cNvPr>
        <xdr:cNvCxnSpPr/>
      </xdr:nvCxnSpPr>
      <xdr:spPr>
        <a:xfrm flipH="1" flipV="1">
          <a:off x="4511040" y="304800"/>
          <a:ext cx="815340" cy="1363980"/>
        </a:xfrm>
        <a:prstGeom prst="straightConnector1">
          <a:avLst/>
        </a:prstGeom>
        <a:ln w="19050" cap="flat" cmpd="sng" algn="ctr">
          <a:solidFill>
            <a:schemeClr val="accent3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6A3A4-E7A9-49D8-9469-4D985EBD33C4}" name="Table1" displayName="Table1" ref="A2:F12" totalsRowShown="0" headerRowDxfId="10" dataDxfId="9" headerRowBorderDxfId="7" tableBorderDxfId="8" totalsRowBorderDxfId="6">
  <autoFilter ref="A2:F12" xr:uid="{BED6A3A4-E7A9-49D8-9469-4D985EBD33C4}"/>
  <tableColumns count="6">
    <tableColumn id="1" xr3:uid="{6A6D34EB-FB86-481B-90E9-EF84FD4B8CF1}" name="EmpID" dataDxfId="5"/>
    <tableColumn id="2" xr3:uid="{435D3E98-9A99-4CCC-B4AF-ADB8726333DC}" name="Name" dataDxfId="4"/>
    <tableColumn id="3" xr3:uid="{80E79A44-FA68-4D1C-B9AB-7F3FBF381CDC}" name="Dept" dataDxfId="3"/>
    <tableColumn id="4" xr3:uid="{0B97F4C0-6C71-4F5F-9DB1-C64FF80895CA}" name="Month" dataDxfId="2"/>
    <tableColumn id="5" xr3:uid="{1324301D-7991-4ABB-B5DE-BF955CC87E3B}" name="Region" dataDxfId="1"/>
    <tableColumn id="6" xr3:uid="{67CC3A1B-74C7-4F28-A611-E864333DE83D}" name="Sal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1879-E069-4A52-AF49-740FF1A3D5BB}">
  <dimension ref="A2:L12"/>
  <sheetViews>
    <sheetView showGridLines="0" tabSelected="1" workbookViewId="0">
      <selection activeCell="A11" sqref="A11"/>
    </sheetView>
  </sheetViews>
  <sheetFormatPr defaultRowHeight="14.4" x14ac:dyDescent="0.3"/>
  <cols>
    <col min="1" max="8" width="8.88671875" style="3"/>
    <col min="9" max="9" width="14.6640625" style="3" bestFit="1" customWidth="1"/>
    <col min="10" max="10" width="97.77734375" style="3" bestFit="1" customWidth="1"/>
    <col min="11" max="11" width="22.77734375" style="3" customWidth="1"/>
    <col min="12" max="12" width="112.77734375" style="3" bestFit="1" customWidth="1"/>
    <col min="13" max="16384" width="8.88671875" style="3"/>
  </cols>
  <sheetData>
    <row r="2" spans="1:12" x14ac:dyDescent="0.3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H2" s="13" t="s">
        <v>1</v>
      </c>
      <c r="I2" s="14" t="s">
        <v>30</v>
      </c>
      <c r="J2" s="15" t="s">
        <v>27</v>
      </c>
      <c r="K2" s="20" t="s">
        <v>28</v>
      </c>
      <c r="L2" s="1" t="s">
        <v>34</v>
      </c>
    </row>
    <row r="3" spans="1:12" x14ac:dyDescent="0.3">
      <c r="A3" s="7" t="s">
        <v>6</v>
      </c>
      <c r="B3" s="8" t="s">
        <v>7</v>
      </c>
      <c r="C3" s="8" t="s">
        <v>5</v>
      </c>
      <c r="D3" s="8" t="s">
        <v>8</v>
      </c>
      <c r="E3" s="8" t="s">
        <v>9</v>
      </c>
      <c r="F3" s="9">
        <v>45000</v>
      </c>
      <c r="I3" s="14"/>
      <c r="J3" s="15"/>
      <c r="K3" s="20"/>
      <c r="L3" s="1"/>
    </row>
    <row r="4" spans="1:12" ht="15.6" x14ac:dyDescent="0.3">
      <c r="A4" s="7" t="s">
        <v>10</v>
      </c>
      <c r="B4" s="8" t="s">
        <v>11</v>
      </c>
      <c r="C4" s="8" t="s">
        <v>12</v>
      </c>
      <c r="D4" s="8" t="s">
        <v>8</v>
      </c>
      <c r="E4" s="8" t="s">
        <v>13</v>
      </c>
      <c r="F4" s="9">
        <v>38000</v>
      </c>
      <c r="I4" s="17">
        <v>1</v>
      </c>
      <c r="J4" s="16" t="s">
        <v>29</v>
      </c>
      <c r="K4" s="21" cm="1">
        <f t="array" ref="K4">INDEX(F3:F12,MATCH(1,(B3:B12="Rahul")*(D3:D12="Feb")*(E3:E12="North"),0))</f>
        <v>48000</v>
      </c>
      <c r="L4" s="2" t="str">
        <f ca="1">_xlfn.FORMULATEXT(K4)</f>
        <v>=INDEX(F3:F12,MATCH(1,(B3:B12="Rahul")*(D3:D12="Feb")*(E3:E12="North"),0))</v>
      </c>
    </row>
    <row r="5" spans="1:12" ht="15.6" x14ac:dyDescent="0.3">
      <c r="A5" s="7" t="s">
        <v>14</v>
      </c>
      <c r="B5" s="8" t="s">
        <v>15</v>
      </c>
      <c r="C5" s="8" t="s">
        <v>5</v>
      </c>
      <c r="D5" s="8" t="s">
        <v>8</v>
      </c>
      <c r="E5" s="8" t="s">
        <v>16</v>
      </c>
      <c r="F5" s="9">
        <v>52000</v>
      </c>
      <c r="I5" s="17">
        <v>2</v>
      </c>
      <c r="J5" s="16" t="s">
        <v>31</v>
      </c>
      <c r="K5" s="21" t="str">
        <f>INDEX(Table1[Dept],MATCH("E106",Table1[EmpID],0))</f>
        <v>Finance</v>
      </c>
      <c r="L5" s="2" t="str">
        <f ca="1">_xlfn.FORMULATEXT(K5)</f>
        <v>=INDEX(Table1[Dept],MATCH("E106",Table1[EmpID],0))</v>
      </c>
    </row>
    <row r="6" spans="1:12" ht="15.6" x14ac:dyDescent="0.3">
      <c r="A6" s="7" t="s">
        <v>17</v>
      </c>
      <c r="B6" s="8" t="s">
        <v>18</v>
      </c>
      <c r="C6" s="8" t="s">
        <v>19</v>
      </c>
      <c r="D6" s="8" t="s">
        <v>8</v>
      </c>
      <c r="E6" s="8" t="s">
        <v>20</v>
      </c>
      <c r="F6" s="9">
        <v>30000</v>
      </c>
      <c r="I6" s="17">
        <v>3</v>
      </c>
      <c r="J6" s="16" t="s">
        <v>32</v>
      </c>
      <c r="K6" s="21" t="str">
        <f>INDEX(Table1[Name],MATCH(MAX(Table1[Sales]),Table1[Sales],0))</f>
        <v>Amit</v>
      </c>
      <c r="L6" s="2" t="str">
        <f ca="1">_xlfn.FORMULATEXT(K6)</f>
        <v>=INDEX(Table1[Name],MATCH(MAX(Table1[Sales]),Table1[Sales],0))</v>
      </c>
    </row>
    <row r="7" spans="1:12" ht="15.6" x14ac:dyDescent="0.3">
      <c r="A7" s="7" t="s">
        <v>6</v>
      </c>
      <c r="B7" s="8" t="s">
        <v>7</v>
      </c>
      <c r="C7" s="8" t="s">
        <v>5</v>
      </c>
      <c r="D7" s="8" t="s">
        <v>21</v>
      </c>
      <c r="E7" s="8" t="s">
        <v>9</v>
      </c>
      <c r="F7" s="9">
        <v>48000</v>
      </c>
      <c r="I7" s="17">
        <v>4</v>
      </c>
      <c r="J7" s="16" t="s">
        <v>33</v>
      </c>
      <c r="K7" s="21" t="str" cm="1">
        <f t="array" ref="K7">INDEX(Table1[Month],MATCH(1,(Table1[Name]="Amit")*(Table1[Sales]=MAX(IF(Table1[Name]="Amit",Table1[Sales]))),0))</f>
        <v>Feb</v>
      </c>
      <c r="L7" s="2" t="str">
        <f ca="1">_xlfn.FORMULATEXT(K7)</f>
        <v>=INDEX(Table1[Month],MATCH(1,(Table1[Name]="Amit")*(Table1[Sales]=MAX(IF(Table1[Name]="Amit",Table1[Sales]))),0))</v>
      </c>
    </row>
    <row r="8" spans="1:12" ht="15.6" x14ac:dyDescent="0.3">
      <c r="A8" s="7" t="s">
        <v>10</v>
      </c>
      <c r="B8" s="8" t="s">
        <v>11</v>
      </c>
      <c r="C8" s="8" t="s">
        <v>12</v>
      </c>
      <c r="D8" s="8" t="s">
        <v>21</v>
      </c>
      <c r="E8" s="8" t="s">
        <v>13</v>
      </c>
      <c r="F8" s="9">
        <v>40000</v>
      </c>
      <c r="I8" s="17">
        <v>5</v>
      </c>
      <c r="J8" s="16" t="s">
        <v>35</v>
      </c>
      <c r="K8" s="22" t="str" cm="1">
        <f t="array" ref="K8">INDEX(Table1[Region],MATCH(1,(Table1[Name]="Rahul")*(Table1[Sales]&gt;45000),0))</f>
        <v>North</v>
      </c>
      <c r="L8" s="2" t="str">
        <f ca="1">_xlfn.FORMULATEXT(K8)</f>
        <v>=INDEX(Table1[Region],MATCH(1,(Table1[Name]="Rahul")*(Table1[Sales]&gt;45000),0))</v>
      </c>
    </row>
    <row r="9" spans="1:12" ht="15.6" x14ac:dyDescent="0.3">
      <c r="A9" s="7" t="s">
        <v>14</v>
      </c>
      <c r="B9" s="8" t="s">
        <v>15</v>
      </c>
      <c r="C9" s="8" t="s">
        <v>5</v>
      </c>
      <c r="D9" s="8" t="s">
        <v>21</v>
      </c>
      <c r="E9" s="8" t="s">
        <v>16</v>
      </c>
      <c r="F9" s="9">
        <v>55000</v>
      </c>
      <c r="I9" s="18">
        <v>6</v>
      </c>
      <c r="J9" s="19" t="s">
        <v>36</v>
      </c>
      <c r="K9" s="22" t="str">
        <f>INDEX(A3:F12, MATCH("Amit", B3:B12, 0), MATCH(H2, A2:F2, 0))</f>
        <v>Amit</v>
      </c>
      <c r="L9" s="2" t="str">
        <f ca="1">_xlfn.FORMULATEXT(K9)</f>
        <v>=INDEX(A3:F12, MATCH("Amit", B3:B12, 0), MATCH(H2, A2:F2, 0))</v>
      </c>
    </row>
    <row r="10" spans="1:12" x14ac:dyDescent="0.3">
      <c r="A10" s="7" t="s">
        <v>17</v>
      </c>
      <c r="B10" s="8" t="s">
        <v>18</v>
      </c>
      <c r="C10" s="8" t="s">
        <v>19</v>
      </c>
      <c r="D10" s="8" t="s">
        <v>21</v>
      </c>
      <c r="E10" s="8" t="s">
        <v>20</v>
      </c>
      <c r="F10" s="9">
        <v>32000</v>
      </c>
    </row>
    <row r="11" spans="1:12" x14ac:dyDescent="0.3">
      <c r="A11" s="7" t="s">
        <v>22</v>
      </c>
      <c r="B11" s="8" t="s">
        <v>23</v>
      </c>
      <c r="C11" s="8" t="s">
        <v>5</v>
      </c>
      <c r="D11" s="8" t="s">
        <v>21</v>
      </c>
      <c r="E11" s="8" t="s">
        <v>9</v>
      </c>
      <c r="F11" s="9">
        <v>47000</v>
      </c>
    </row>
    <row r="12" spans="1:12" x14ac:dyDescent="0.3">
      <c r="A12" s="10" t="s">
        <v>24</v>
      </c>
      <c r="B12" s="11" t="s">
        <v>25</v>
      </c>
      <c r="C12" s="11" t="s">
        <v>26</v>
      </c>
      <c r="D12" s="11" t="s">
        <v>21</v>
      </c>
      <c r="E12" s="11" t="s">
        <v>13</v>
      </c>
      <c r="F12" s="12">
        <v>36000</v>
      </c>
    </row>
  </sheetData>
  <mergeCells count="4">
    <mergeCell ref="J2:J3"/>
    <mergeCell ref="K2:K3"/>
    <mergeCell ref="I2:I3"/>
    <mergeCell ref="L2:L3"/>
  </mergeCells>
  <dataValidations count="1">
    <dataValidation type="list" allowBlank="1" showInputMessage="1" showErrorMessage="1" sqref="H2" xr:uid="{C7D89E55-D968-4852-AC25-14213AF2CE86}">
      <formula1>$A$2:$F$2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and Match Advance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agrawal</dc:creator>
  <cp:lastModifiedBy>madhav agrawal</cp:lastModifiedBy>
  <dcterms:created xsi:type="dcterms:W3CDTF">2026-01-16T02:50:32Z</dcterms:created>
  <dcterms:modified xsi:type="dcterms:W3CDTF">2026-01-16T07:22:09Z</dcterms:modified>
</cp:coreProperties>
</file>