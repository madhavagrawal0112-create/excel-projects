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1b5bb6c705a29f/Documents/excel/Excel files for pratice/"/>
    </mc:Choice>
  </mc:AlternateContent>
  <xr:revisionPtr revIDLastSave="0" documentId="14_{5F14D6CE-2217-4784-A1B6-F1CF2242EEE8}" xr6:coauthVersionLast="47" xr6:coauthVersionMax="47" xr10:uidLastSave="{00000000-0000-0000-0000-000000000000}"/>
  <bookViews>
    <workbookView xWindow="-108" yWindow="-108" windowWidth="23256" windowHeight="12456" xr2:uid="{1FEFFB25-91A0-4339-9E54-B56777181F14}"/>
  </bookViews>
  <sheets>
    <sheet name="Index and match basic" sheetId="1" r:id="rId1"/>
    <sheet name="Index and match adv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 a="1"/>
  <c r="I7" i="1" s="1"/>
  <c r="I6" i="1" a="1"/>
  <c r="I6" i="1" s="1"/>
  <c r="I5" i="1"/>
  <c r="I4" i="1" a="1"/>
  <c r="I4" i="1" s="1"/>
  <c r="I3" i="1" a="1"/>
  <c r="I3" i="1" s="1"/>
  <c r="K7" i="1"/>
  <c r="K6" i="1"/>
  <c r="K5" i="1"/>
  <c r="K4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<sst xmlns="http://schemas.openxmlformats.org/spreadsheetml/2006/main" count="45" uniqueCount="25">
  <si>
    <t>EmpID</t>
  </si>
  <si>
    <t>Name</t>
  </si>
  <si>
    <t>Department</t>
  </si>
  <si>
    <t>Month</t>
  </si>
  <si>
    <t>Sales</t>
  </si>
  <si>
    <t>E101</t>
  </si>
  <si>
    <t>Rahul</t>
  </si>
  <si>
    <t>Jan</t>
  </si>
  <si>
    <t>E102</t>
  </si>
  <si>
    <t>Neha</t>
  </si>
  <si>
    <t>Marketing</t>
  </si>
  <si>
    <t>E103</t>
  </si>
  <si>
    <t>Amit</t>
  </si>
  <si>
    <t>E104</t>
  </si>
  <si>
    <t>Pooja</t>
  </si>
  <si>
    <t>HR</t>
  </si>
  <si>
    <t>Feb</t>
  </si>
  <si>
    <t>Rahul sales in feb</t>
  </si>
  <si>
    <t>Sales of EmpID = E103 in Jan</t>
  </si>
  <si>
    <t>Department of employee who made ₹55,000 sales</t>
  </si>
  <si>
    <t>Neha’s department in Feb</t>
  </si>
  <si>
    <t>Find Pooja’s sales in Jan</t>
  </si>
  <si>
    <t>Questions</t>
  </si>
  <si>
    <t>Ans</t>
  </si>
  <si>
    <t>Formula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</si>
</sst>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_ * #,##0.000_ ;_ * \-#,##0.0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68" fontId="0" fillId="4" borderId="1" xfId="1" applyNumberFormat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7">
    <dxf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2</xdr:row>
      <xdr:rowOff>106680</xdr:rowOff>
    </xdr:from>
    <xdr:to>
      <xdr:col>7</xdr:col>
      <xdr:colOff>30480</xdr:colOff>
      <xdr:row>2</xdr:row>
      <xdr:rowOff>106680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7696827-3519-97A9-EFF8-F6CAE4D64D3F}"/>
            </a:ext>
          </a:extLst>
        </xdr:cNvPr>
        <xdr:cNvCxnSpPr/>
      </xdr:nvCxnSpPr>
      <xdr:spPr>
        <a:xfrm>
          <a:off x="4335780" y="47244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441960</xdr:colOff>
      <xdr:row>3</xdr:row>
      <xdr:rowOff>91440</xdr:rowOff>
    </xdr:from>
    <xdr:to>
      <xdr:col>7</xdr:col>
      <xdr:colOff>68580</xdr:colOff>
      <xdr:row>3</xdr:row>
      <xdr:rowOff>91440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799A1EE-F737-4838-8E68-EBAA94B9C86E}"/>
            </a:ext>
          </a:extLst>
        </xdr:cNvPr>
        <xdr:cNvCxnSpPr/>
      </xdr:nvCxnSpPr>
      <xdr:spPr>
        <a:xfrm>
          <a:off x="4373880" y="64008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411480</xdr:colOff>
      <xdr:row>4</xdr:row>
      <xdr:rowOff>83820</xdr:rowOff>
    </xdr:from>
    <xdr:to>
      <xdr:col>7</xdr:col>
      <xdr:colOff>38100</xdr:colOff>
      <xdr:row>4</xdr:row>
      <xdr:rowOff>83820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2EECA55-6754-4CAF-BF15-16BA677901CC}"/>
            </a:ext>
          </a:extLst>
        </xdr:cNvPr>
        <xdr:cNvCxnSpPr/>
      </xdr:nvCxnSpPr>
      <xdr:spPr>
        <a:xfrm>
          <a:off x="4343400" y="81534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388620</xdr:colOff>
      <xdr:row>5</xdr:row>
      <xdr:rowOff>68580</xdr:rowOff>
    </xdr:from>
    <xdr:to>
      <xdr:col>7</xdr:col>
      <xdr:colOff>15240</xdr:colOff>
      <xdr:row>5</xdr:row>
      <xdr:rowOff>68580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AC1BFD4-B2E3-4BE6-BBD8-E760A9463054}"/>
            </a:ext>
          </a:extLst>
        </xdr:cNvPr>
        <xdr:cNvCxnSpPr/>
      </xdr:nvCxnSpPr>
      <xdr:spPr>
        <a:xfrm>
          <a:off x="4320540" y="98298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6</xdr:row>
      <xdr:rowOff>91440</xdr:rowOff>
    </xdr:from>
    <xdr:to>
      <xdr:col>7</xdr:col>
      <xdr:colOff>45720</xdr:colOff>
      <xdr:row>6</xdr:row>
      <xdr:rowOff>91440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A865113-698A-4F2C-8C16-C091BB0BBBE2}"/>
            </a:ext>
          </a:extLst>
        </xdr:cNvPr>
        <xdr:cNvCxnSpPr/>
      </xdr:nvCxnSpPr>
      <xdr:spPr>
        <a:xfrm>
          <a:off x="4351020" y="118872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129540</xdr:colOff>
      <xdr:row>2</xdr:row>
      <xdr:rowOff>91440</xdr:rowOff>
    </xdr:from>
    <xdr:to>
      <xdr:col>9</xdr:col>
      <xdr:colOff>899160</xdr:colOff>
      <xdr:row>2</xdr:row>
      <xdr:rowOff>99060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790BE40-606F-4E17-8CBC-180111FFB394}"/>
            </a:ext>
          </a:extLst>
        </xdr:cNvPr>
        <xdr:cNvCxnSpPr/>
      </xdr:nvCxnSpPr>
      <xdr:spPr>
        <a:xfrm>
          <a:off x="8115300" y="457200"/>
          <a:ext cx="7696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137160</xdr:colOff>
      <xdr:row>3</xdr:row>
      <xdr:rowOff>121920</xdr:rowOff>
    </xdr:from>
    <xdr:to>
      <xdr:col>9</xdr:col>
      <xdr:colOff>906780</xdr:colOff>
      <xdr:row>3</xdr:row>
      <xdr:rowOff>129540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5A966428-02E0-427C-8945-B242B26AB929}"/>
            </a:ext>
          </a:extLst>
        </xdr:cNvPr>
        <xdr:cNvCxnSpPr/>
      </xdr:nvCxnSpPr>
      <xdr:spPr>
        <a:xfrm>
          <a:off x="8122920" y="670560"/>
          <a:ext cx="7696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144780</xdr:colOff>
      <xdr:row>4</xdr:row>
      <xdr:rowOff>121920</xdr:rowOff>
    </xdr:from>
    <xdr:to>
      <xdr:col>9</xdr:col>
      <xdr:colOff>914400</xdr:colOff>
      <xdr:row>4</xdr:row>
      <xdr:rowOff>129540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764247A-CEC0-4DF1-A7C8-EE2293C0BD1D}"/>
            </a:ext>
          </a:extLst>
        </xdr:cNvPr>
        <xdr:cNvCxnSpPr/>
      </xdr:nvCxnSpPr>
      <xdr:spPr>
        <a:xfrm>
          <a:off x="8130540" y="853440"/>
          <a:ext cx="7696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160020</xdr:colOff>
      <xdr:row>5</xdr:row>
      <xdr:rowOff>137160</xdr:rowOff>
    </xdr:from>
    <xdr:to>
      <xdr:col>9</xdr:col>
      <xdr:colOff>929640</xdr:colOff>
      <xdr:row>5</xdr:row>
      <xdr:rowOff>144780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2155236-7302-4452-8C36-9529382EA84A}"/>
            </a:ext>
          </a:extLst>
        </xdr:cNvPr>
        <xdr:cNvCxnSpPr/>
      </xdr:nvCxnSpPr>
      <xdr:spPr>
        <a:xfrm>
          <a:off x="8145780" y="1051560"/>
          <a:ext cx="7696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144780</xdr:colOff>
      <xdr:row>6</xdr:row>
      <xdr:rowOff>99060</xdr:rowOff>
    </xdr:from>
    <xdr:to>
      <xdr:col>9</xdr:col>
      <xdr:colOff>914400</xdr:colOff>
      <xdr:row>6</xdr:row>
      <xdr:rowOff>106680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0DD2AC2-FE0C-4415-BC48-8D4090788C39}"/>
            </a:ext>
          </a:extLst>
        </xdr:cNvPr>
        <xdr:cNvCxnSpPr/>
      </xdr:nvCxnSpPr>
      <xdr:spPr>
        <a:xfrm>
          <a:off x="8130540" y="1196340"/>
          <a:ext cx="7696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557DB-1521-4B51-A4C5-632F8F49B5C6}" name="Table1" displayName="Table1" ref="A1:E9" totalsRowShown="0" headerRowDxfId="1" dataDxfId="0">
  <autoFilter ref="A1:E9" xr:uid="{9F4557DB-1521-4B51-A4C5-632F8F49B5C6}"/>
  <tableColumns count="5">
    <tableColumn id="1" xr3:uid="{994C7677-D7B6-4DEA-AB58-689F77D988E6}" name="EmpID" dataDxfId="6"/>
    <tableColumn id="2" xr3:uid="{FFD12941-568F-41E5-A306-CB0F998D0A97}" name="Name" dataDxfId="5"/>
    <tableColumn id="3" xr3:uid="{D5289061-8A2B-4080-AEC5-572A8C628AEA}" name="Department" dataDxfId="4"/>
    <tableColumn id="4" xr3:uid="{0D8AFFB2-F06F-452D-AE43-06033437D650}" name="Month" dataDxfId="3"/>
    <tableColumn id="5" xr3:uid="{70F05426-DEFC-4252-B0F5-0F06D8317DD6}" name="Sale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682F-C30D-4F58-AAED-1B124C098936}">
  <dimension ref="A1:K9"/>
  <sheetViews>
    <sheetView showGridLines="0" tabSelected="1" workbookViewId="0">
      <selection activeCell="F11" sqref="F11"/>
    </sheetView>
  </sheetViews>
  <sheetFormatPr defaultRowHeight="14.4" x14ac:dyDescent="0.3"/>
  <cols>
    <col min="1" max="2" width="8.88671875" style="1"/>
    <col min="3" max="3" width="12.88671875" style="1" customWidth="1"/>
    <col min="4" max="7" width="8.88671875" style="1"/>
    <col min="8" max="8" width="41.33203125" style="1" bestFit="1" customWidth="1"/>
    <col min="9" max="9" width="8.88671875" style="1"/>
    <col min="10" max="10" width="14.109375" style="1" customWidth="1"/>
    <col min="11" max="11" width="49.88671875" style="1" bestFit="1" customWidth="1"/>
    <col min="12" max="16384" width="8.88671875" style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8" t="s">
        <v>22</v>
      </c>
      <c r="I1" s="9" t="s">
        <v>23</v>
      </c>
      <c r="K1" s="8" t="s">
        <v>24</v>
      </c>
    </row>
    <row r="2" spans="1:11" x14ac:dyDescent="0.3">
      <c r="A2" s="4" t="s">
        <v>5</v>
      </c>
      <c r="B2" s="4" t="s">
        <v>6</v>
      </c>
      <c r="C2" s="4" t="s">
        <v>4</v>
      </c>
      <c r="D2" s="4" t="s">
        <v>7</v>
      </c>
      <c r="E2" s="4">
        <v>45000</v>
      </c>
      <c r="H2" s="10"/>
      <c r="I2" s="9"/>
      <c r="K2" s="10"/>
    </row>
    <row r="3" spans="1:11" x14ac:dyDescent="0.3">
      <c r="A3" s="4" t="s">
        <v>8</v>
      </c>
      <c r="B3" s="4" t="s">
        <v>9</v>
      </c>
      <c r="C3" s="4" t="s">
        <v>10</v>
      </c>
      <c r="D3" s="4" t="s">
        <v>7</v>
      </c>
      <c r="E3" s="4">
        <v>38000</v>
      </c>
      <c r="G3" s="2">
        <v>1</v>
      </c>
      <c r="H3" s="5" t="s">
        <v>17</v>
      </c>
      <c r="I3" s="6" cm="1">
        <f t="array" ref="I3">INDEX(E2:E9,MATCH(1,(B2:B9="Rahul")*(D2:D9="Feb"),0))</f>
        <v>48000</v>
      </c>
      <c r="K3" s="7" t="str">
        <f ca="1">_xlfn.FORMULATEXT(I3)</f>
        <v>=INDEX(E2:E9,MATCH(1,(B2:B9="Rahul")*(D2:D9="Feb"),0))</v>
      </c>
    </row>
    <row r="4" spans="1:11" x14ac:dyDescent="0.3">
      <c r="A4" s="4" t="s">
        <v>11</v>
      </c>
      <c r="B4" s="4" t="s">
        <v>12</v>
      </c>
      <c r="C4" s="4" t="s">
        <v>4</v>
      </c>
      <c r="D4" s="4" t="s">
        <v>7</v>
      </c>
      <c r="E4" s="4">
        <v>52000</v>
      </c>
      <c r="G4" s="2">
        <v>2</v>
      </c>
      <c r="H4" s="5" t="s">
        <v>18</v>
      </c>
      <c r="I4" s="6" cm="1">
        <f t="array" ref="I4">INDEX(E2:E9,MATCH(1,(A2:A9="E103")*(D2:D9="Jan"),0))</f>
        <v>52000</v>
      </c>
      <c r="K4" s="7" t="str">
        <f ca="1">_xlfn.FORMULATEXT(I4)</f>
        <v>=INDEX(E2:E9,MATCH(1,(A2:A9="E103")*(D2:D9="Jan"),0))</v>
      </c>
    </row>
    <row r="5" spans="1:11" x14ac:dyDescent="0.3">
      <c r="A5" s="4" t="s">
        <v>13</v>
      </c>
      <c r="B5" s="4" t="s">
        <v>14</v>
      </c>
      <c r="C5" s="4" t="s">
        <v>15</v>
      </c>
      <c r="D5" s="4" t="s">
        <v>7</v>
      </c>
      <c r="E5" s="4">
        <v>30000</v>
      </c>
      <c r="G5" s="2">
        <v>3</v>
      </c>
      <c r="H5" s="5" t="s">
        <v>19</v>
      </c>
      <c r="I5" s="6" t="str">
        <f>INDEX(C2:C9,MATCH(55000,E2:E9,0))</f>
        <v>Sales</v>
      </c>
      <c r="K5" s="7" t="str">
        <f ca="1">_xlfn.FORMULATEXT(I5)</f>
        <v>=INDEX(C2:C9,MATCH(55000,E2:E9,0))</v>
      </c>
    </row>
    <row r="6" spans="1:11" x14ac:dyDescent="0.3">
      <c r="A6" s="4" t="s">
        <v>5</v>
      </c>
      <c r="B6" s="4" t="s">
        <v>6</v>
      </c>
      <c r="C6" s="4" t="s">
        <v>4</v>
      </c>
      <c r="D6" s="4" t="s">
        <v>16</v>
      </c>
      <c r="E6" s="4">
        <v>48000</v>
      </c>
      <c r="G6" s="2">
        <v>4</v>
      </c>
      <c r="H6" s="5" t="s">
        <v>20</v>
      </c>
      <c r="I6" s="6" t="str" cm="1">
        <f t="array" ref="I6">INDEX(C2:C9,MATCH(1,(B2:B9="Neha")*(D2:D9="Feb"),0))</f>
        <v>Marketing</v>
      </c>
      <c r="K6" s="7" t="str">
        <f ca="1">_xlfn.FORMULATEXT(I6)</f>
        <v>=INDEX(C2:C9,MATCH(1,(B2:B9="Neha")*(D2:D9="Feb"),0))</v>
      </c>
    </row>
    <row r="7" spans="1:11" x14ac:dyDescent="0.3">
      <c r="A7" s="4" t="s">
        <v>8</v>
      </c>
      <c r="B7" s="4" t="s">
        <v>9</v>
      </c>
      <c r="C7" s="4" t="s">
        <v>10</v>
      </c>
      <c r="D7" s="4" t="s">
        <v>16</v>
      </c>
      <c r="E7" s="4">
        <v>40000</v>
      </c>
      <c r="G7" s="2">
        <v>5</v>
      </c>
      <c r="H7" s="5" t="s">
        <v>21</v>
      </c>
      <c r="I7" s="6" cm="1">
        <f t="array" ref="I7">INDEX(E2:E9,MATCH(1,(B2:B9="Pooja")*(D2:D9="jan"),0))</f>
        <v>30000</v>
      </c>
      <c r="K7" s="7" t="str">
        <f ca="1">_xlfn.FORMULATEXT(I7)</f>
        <v>=INDEX(E2:E9,MATCH(1,(B2:B9="Pooja")*(D2:D9="jan"),0))</v>
      </c>
    </row>
    <row r="8" spans="1:11" x14ac:dyDescent="0.3">
      <c r="A8" s="4" t="s">
        <v>11</v>
      </c>
      <c r="B8" s="4" t="s">
        <v>12</v>
      </c>
      <c r="C8" s="4" t="s">
        <v>4</v>
      </c>
      <c r="D8" s="4" t="s">
        <v>16</v>
      </c>
      <c r="E8" s="4">
        <v>55000</v>
      </c>
    </row>
    <row r="9" spans="1:11" x14ac:dyDescent="0.3">
      <c r="A9" s="4" t="s">
        <v>13</v>
      </c>
      <c r="B9" s="4" t="s">
        <v>14</v>
      </c>
      <c r="C9" s="4" t="s">
        <v>15</v>
      </c>
      <c r="D9" s="4" t="s">
        <v>16</v>
      </c>
      <c r="E9" s="4">
        <v>32000</v>
      </c>
    </row>
  </sheetData>
  <mergeCells count="3">
    <mergeCell ref="H1:H2"/>
    <mergeCell ref="I1:I2"/>
    <mergeCell ref="K1:K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2214-C788-4655-889E-AB92FC4E9A57}">
  <dimension ref="A1"/>
  <sheetViews>
    <sheetView workbookViewId="0">
      <selection activeCell="H26" sqref="H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and match basic</vt:lpstr>
      <vt:lpstr>Index and match 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agrawal</dc:creator>
  <cp:lastModifiedBy>madhav agrawal</cp:lastModifiedBy>
  <dcterms:created xsi:type="dcterms:W3CDTF">2026-01-14T16:02:14Z</dcterms:created>
  <dcterms:modified xsi:type="dcterms:W3CDTF">2026-01-14T16:53:41Z</dcterms:modified>
</cp:coreProperties>
</file>